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bookViews>
    <workbookView xWindow="0" yWindow="0" windowWidth="20490" windowHeight="7500" activeTab="1"/>
  </bookViews>
  <sheets>
    <sheet name="Hoja1" sheetId="1" r:id="rId1"/>
    <sheet name="Hoja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J11" i="1"/>
  <c r="J16" i="1"/>
  <c r="J9" i="1"/>
  <c r="J15" i="1"/>
  <c r="J8" i="1"/>
  <c r="J13" i="1"/>
  <c r="J7" i="1"/>
  <c r="D8" i="1" l="1"/>
  <c r="D9" i="1"/>
  <c r="D10" i="1"/>
  <c r="D11" i="1"/>
  <c r="D12" i="1"/>
  <c r="D13" i="1"/>
  <c r="D14" i="1"/>
  <c r="D15" i="1"/>
  <c r="D16" i="1"/>
  <c r="H6" i="1"/>
  <c r="J6" i="1"/>
  <c r="H7" i="1"/>
  <c r="D7" i="1" l="1"/>
  <c r="K7" i="1"/>
  <c r="K6" i="1"/>
  <c r="L7" i="1"/>
  <c r="H8" i="1"/>
  <c r="K8" i="1"/>
  <c r="L8" i="1"/>
  <c r="H9" i="1"/>
  <c r="K9" i="1"/>
  <c r="L9" i="1"/>
  <c r="H10" i="1"/>
  <c r="K10" i="1"/>
  <c r="L10" i="1"/>
  <c r="H11" i="1"/>
  <c r="K11" i="1"/>
  <c r="L11" i="1"/>
  <c r="H12" i="1"/>
  <c r="K12" i="1"/>
  <c r="L12" i="1"/>
  <c r="H13" i="1" s="1"/>
  <c r="K13" i="1"/>
  <c r="L13" i="1"/>
  <c r="H14" i="1" s="1"/>
  <c r="K14" i="1"/>
  <c r="L14" i="1"/>
  <c r="H15" i="1" s="1"/>
  <c r="K15" i="1"/>
  <c r="L15" i="1"/>
  <c r="H16" i="1" s="1"/>
  <c r="K16" i="1"/>
  <c r="L16" i="1"/>
  <c r="H17" i="1" s="1"/>
  <c r="K17" i="1"/>
  <c r="L17" i="1"/>
  <c r="H18" i="1"/>
  <c r="F22" i="1" l="1"/>
  <c r="H22" i="1"/>
  <c r="K18" i="1"/>
  <c r="L18" i="1" s="1"/>
  <c r="G22" i="1" l="1"/>
  <c r="I22" i="1" s="1"/>
</calcChain>
</file>

<file path=xl/sharedStrings.xml><?xml version="1.0" encoding="utf-8"?>
<sst xmlns="http://schemas.openxmlformats.org/spreadsheetml/2006/main" count="22" uniqueCount="20">
  <si>
    <t>LIQUIDACIÓN HONORARIOS EN AUTOS:</t>
  </si>
  <si>
    <t>Tasa</t>
  </si>
  <si>
    <t>Activa Banco Rioja</t>
  </si>
  <si>
    <t>Desde</t>
  </si>
  <si>
    <t>Hasta</t>
  </si>
  <si>
    <t>TNA</t>
  </si>
  <si>
    <t>Tasa Diaria</t>
  </si>
  <si>
    <t>Soria Llanos Noelia Soledad</t>
  </si>
  <si>
    <t>Columna1</t>
  </si>
  <si>
    <t>Columna2</t>
  </si>
  <si>
    <t>Fecha Desde</t>
  </si>
  <si>
    <t>Fecha Hasta</t>
  </si>
  <si>
    <t>Pago</t>
  </si>
  <si>
    <t>Intereses Acumulados</t>
  </si>
  <si>
    <t>Capital</t>
  </si>
  <si>
    <t xml:space="preserve">Intereses </t>
  </si>
  <si>
    <t>Regulacion</t>
  </si>
  <si>
    <t>TOTAL</t>
  </si>
  <si>
    <t>Fecha</t>
  </si>
  <si>
    <t>TOTAL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</si>
</sst>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$-2C0A]\ #,##0.00"/>
    <numFmt numFmtId="165" formatCode="dd/mm/yyyy;@"/>
    <numFmt numFmtId="166" formatCode="&quot;$&quot;\ #,##0.00"/>
    <numFmt numFmtId="167" formatCode="d/m/yyyy"/>
  </numFmts>
  <fonts count="8" x14ac:knownFonts="1"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b/>
      <u/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sz val="11"/>
      <color rgb="FF000000"/>
      <name val="Gill Sans MT"/>
      <family val="2"/>
    </font>
    <font>
      <b/>
      <u/>
      <sz val="11"/>
      <color theme="0"/>
      <name val="Gill Sans MT"/>
      <family val="2"/>
      <scheme val="minor"/>
    </font>
    <font>
      <b/>
      <i/>
      <sz val="18"/>
      <color theme="1"/>
      <name val="Algerian"/>
      <family val="5"/>
    </font>
    <font>
      <b/>
      <u/>
      <sz val="11"/>
      <color theme="2"/>
      <name val="Gill Sans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0" borderId="0" xfId="0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2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164" fontId="2" fillId="0" borderId="4" xfId="0" applyNumberFormat="1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14" fontId="0" fillId="0" borderId="2" xfId="0" applyNumberFormat="1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0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6" fontId="0" fillId="0" borderId="0" xfId="0" applyNumberFormat="1"/>
    <xf numFmtId="164" fontId="6" fillId="0" borderId="0" xfId="0" applyNumberFormat="1" applyFont="1"/>
    <xf numFmtId="164" fontId="2" fillId="0" borderId="4" xfId="0" applyNumberFormat="1" applyFont="1" applyBorder="1" applyAlignment="1" applyProtection="1">
      <alignment horizontal="center" vertical="center"/>
      <protection hidden="1"/>
    </xf>
    <xf numFmtId="14" fontId="2" fillId="0" borderId="4" xfId="0" applyNumberFormat="1" applyFont="1" applyBorder="1" applyAlignment="1" applyProtection="1">
      <alignment horizontal="center" vertical="center"/>
      <protection hidden="1"/>
    </xf>
    <xf numFmtId="167" fontId="2" fillId="0" borderId="4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/>
    <xf numFmtId="164" fontId="5" fillId="0" borderId="4" xfId="0" applyNumberFormat="1" applyFont="1" applyBorder="1" applyAlignment="1" applyProtection="1">
      <alignment horizontal="center" vertical="center"/>
      <protection hidden="1"/>
    </xf>
    <xf numFmtId="166" fontId="5" fillId="0" borderId="4" xfId="0" applyNumberFormat="1" applyFont="1" applyBorder="1" applyAlignment="1" applyProtection="1">
      <alignment horizontal="center" vertical="center"/>
      <protection hidden="1"/>
    </xf>
    <xf numFmtId="14" fontId="5" fillId="0" borderId="4" xfId="0" applyNumberFormat="1" applyFont="1" applyBorder="1" applyAlignment="1" applyProtection="1">
      <alignment horizontal="center" vertical="center"/>
      <protection hidden="1"/>
    </xf>
    <xf numFmtId="164" fontId="7" fillId="0" borderId="4" xfId="0" applyNumberFormat="1" applyFont="1" applyBorder="1" applyAlignment="1" applyProtection="1">
      <alignment horizontal="center" vertical="center"/>
      <protection hidden="1"/>
    </xf>
    <xf numFmtId="166" fontId="7" fillId="0" borderId="4" xfId="0" applyNumberFormat="1" applyFont="1" applyBorder="1" applyAlignment="1" applyProtection="1">
      <alignment horizontal="center" vertical="center"/>
      <protection hidden="1"/>
    </xf>
    <xf numFmtId="14" fontId="7" fillId="0" borderId="4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21">
    <dxf>
      <numFmt numFmtId="166" formatCode="&quot;$&quot;\ #,##0.00"/>
    </dxf>
    <dxf>
      <numFmt numFmtId="166" formatCode="&quot;$&quot;\ #,##0.00"/>
    </dxf>
    <dxf>
      <numFmt numFmtId="164" formatCode="[$$-2C0A]\ #,##0.00"/>
    </dxf>
    <dxf>
      <numFmt numFmtId="167" formatCode="d/m/yyyy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7" formatCode="d/m/yyyy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9" formatCode="dd/mm/yyyy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1066800</xdr:colOff>
          <xdr:row>16</xdr:row>
          <xdr:rowOff>47625</xdr:rowOff>
        </xdr:from>
        <xdr:to>
          <xdr:col>13</xdr:col>
          <xdr:colOff>409575</xdr:colOff>
          <xdr:row>17</xdr:row>
          <xdr:rowOff>209550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Fecha Final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8</xdr:row>
          <xdr:rowOff>171450</xdr:rowOff>
        </xdr:from>
        <xdr:to>
          <xdr:col>4</xdr:col>
          <xdr:colOff>371475</xdr:colOff>
          <xdr:row>11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Nueva Deuda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8</xdr:row>
          <xdr:rowOff>161925</xdr:rowOff>
        </xdr:from>
        <xdr:to>
          <xdr:col>7</xdr:col>
          <xdr:colOff>142875</xdr:colOff>
          <xdr:row>11</xdr:row>
          <xdr:rowOff>200025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Borrar Ultimo pago/deuda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8</xdr:row>
          <xdr:rowOff>180975</xdr:rowOff>
        </xdr:from>
        <xdr:to>
          <xdr:col>10</xdr:col>
          <xdr:colOff>66675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Nuevo Pago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16</xdr:row>
          <xdr:rowOff>209550</xdr:rowOff>
        </xdr:from>
        <xdr:to>
          <xdr:col>5</xdr:col>
          <xdr:colOff>542925</xdr:colOff>
          <xdr:row>20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Nueva Tasa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16</xdr:row>
          <xdr:rowOff>180975</xdr:rowOff>
        </xdr:from>
        <xdr:to>
          <xdr:col>8</xdr:col>
          <xdr:colOff>476250</xdr:colOff>
          <xdr:row>20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Borrar Ultima tasa ingresada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668969</xdr:colOff>
      <xdr:row>4</xdr:row>
      <xdr:rowOff>114288</xdr:rowOff>
    </xdr:from>
    <xdr:ext cx="10520702" cy="895373"/>
    <xdr:sp macro="" textlink="">
      <xdr:nvSpPr>
        <xdr:cNvPr id="2" name="Rectángulo 1"/>
        <xdr:cNvSpPr/>
      </xdr:nvSpPr>
      <xdr:spPr>
        <a:xfrm>
          <a:off x="668969" y="990588"/>
          <a:ext cx="10520702" cy="89537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Carga de pagos y deudas cliente</a:t>
          </a:r>
        </a:p>
      </xdr:txBody>
    </xdr:sp>
    <xdr:clientData/>
  </xdr:oneCellAnchor>
  <xdr:oneCellAnchor>
    <xdr:from>
      <xdr:col>1</xdr:col>
      <xdr:colOff>651787</xdr:colOff>
      <xdr:row>11</xdr:row>
      <xdr:rowOff>180963</xdr:rowOff>
    </xdr:from>
    <xdr:ext cx="7259424" cy="895373"/>
    <xdr:sp macro="" textlink="">
      <xdr:nvSpPr>
        <xdr:cNvPr id="8" name="Rectángulo 7"/>
        <xdr:cNvSpPr/>
      </xdr:nvSpPr>
      <xdr:spPr>
        <a:xfrm>
          <a:off x="1489987" y="2590788"/>
          <a:ext cx="7259424" cy="89537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Carga de Tasas</a:t>
          </a:r>
          <a:r>
            <a:rPr lang="es-ES" sz="5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banco</a:t>
          </a:r>
          <a:endParaRPr lang="es-ES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-168442</xdr:colOff>
      <xdr:row>20</xdr:row>
      <xdr:rowOff>104775</xdr:rowOff>
    </xdr:from>
    <xdr:ext cx="20264586" cy="895373"/>
    <xdr:sp macro="" textlink="">
      <xdr:nvSpPr>
        <xdr:cNvPr id="9" name="Rectángulo 8"/>
        <xdr:cNvSpPr/>
      </xdr:nvSpPr>
      <xdr:spPr>
        <a:xfrm>
          <a:off x="-168442" y="4486275"/>
          <a:ext cx="20264586" cy="89537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Obtener</a:t>
          </a:r>
          <a:r>
            <a:rPr lang="es-ES" sz="5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monto total e intereses que debe el cliente hasta hoy</a:t>
          </a:r>
          <a:endParaRPr lang="es-ES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25</xdr:row>
          <xdr:rowOff>47625</xdr:rowOff>
        </xdr:from>
        <xdr:to>
          <xdr:col>7</xdr:col>
          <xdr:colOff>114300</xdr:colOff>
          <xdr:row>28</xdr:row>
          <xdr:rowOff>85725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Mostrar datos cliente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Tasas" displayName="TablaTasas" ref="A6:D17" totalsRowShown="0" headerRowDxfId="20" dataDxfId="19" tableBorderDxfId="18">
  <autoFilter ref="A6:D17"/>
  <tableColumns count="4">
    <tableColumn id="1" name="Desde" dataDxfId="17"/>
    <tableColumn id="2" name="Hasta" dataDxfId="16"/>
    <tableColumn id="3" name="TNA" dataDxfId="15"/>
    <tableColumn id="4" name="Tasa Diaria" dataDxfId="14">
      <calculatedColumnFormula>+C7/365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InteresesYCapital" displayName="TablaInteresesYCapital" ref="F5:L18" totalsRowShown="0" headerRowDxfId="13" dataDxfId="12" tableBorderDxfId="11">
  <autoFilter ref="F5:L18"/>
  <tableColumns count="7">
    <tableColumn id="1" name="Regulacion" dataDxfId="10"/>
    <tableColumn id="9" name="Pago" dataDxfId="9"/>
    <tableColumn id="11" name="Capital" dataDxfId="8">
      <calculatedColumnFormula>CalculaCapital(TablaInteresesYCapital[[#This Row],[Regulacion]],TablaInteresesYCapital[[#This Row],[Pago]])</calculatedColumnFormula>
    </tableColumn>
    <tableColumn id="3" name="Fecha Desde" dataDxfId="7"/>
    <tableColumn id="4" name="Fecha Hasta" dataDxfId="6">
      <calculatedColumnFormula>CalculaFechaHasta(TablaInteresesYCapital[[#This Row],[Fecha Desde]])</calculatedColumnFormula>
    </tableColumn>
    <tableColumn id="6" name="Intereses " dataDxfId="5">
      <calculatedColumnFormula>CalcularIntereses(TablaTasas[#All],TablaInteresesYCapital[[#This Row],[Fecha Desde]],TablaInteresesYCapital[[#This Row],[Fecha Hasta]],TablaInteresesYCapital[[#This Row],[Capital]])</calculatedColumnFormula>
    </tableColumn>
    <tableColumn id="8" name="Intereses Acumulados" dataDxfId="4">
      <calculatedColumnFormula>CalculaInteresAcumulado(TablaInteresesYCapital[[#This Row],[Regulacion]],TablaInteresesYCapital[[#This Row],[Pago]],TablaInteresesYCapital[[#This Row],[Intereses ]],TablaInteresesYCapital[[#This Row],[Capital]],K5,L5)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DatosFinal" displayName="TablaDatosFinal" ref="F21:I22" totalsRowShown="0">
  <autoFilter ref="F21:I22"/>
  <tableColumns count="4">
    <tableColumn id="1" name="Fecha" dataDxfId="3">
      <calculatedColumnFormula>INDEX(TablaInteresesYCapital[Fecha Hasta],COUNTA(TablaInteresesYCapital[Capital]))</calculatedColumnFormula>
    </tableColumn>
    <tableColumn id="2" name="Intereses " dataDxfId="2">
      <calculatedColumnFormula>INDEX(TablaInteresesYCapital[Intereses Acumulados],COUNTA(TablaInteresesYCapital[Intereses Acumulados]))</calculatedColumnFormula>
    </tableColumn>
    <tableColumn id="3" name="Capital" dataDxfId="1">
      <calculatedColumnFormula>INDEX(TablaInteresesYCapital[Capital],COUNTA(TablaInteresesYCapital[Capital]))</calculatedColumnFormula>
    </tableColumn>
    <tableColumn id="4" name="TOTAL" dataDxfId="0">
      <calculatedColumnFormula>SUM(TablaDatosFinal[[Intereses ]]+H22:H23)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adg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adge">
      <a:majorFont>
        <a:latin typeface="Impact" panose="020B080603090205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メイリオ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rillant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dge" id="{71A07785-5930-41D4-9A83-E23602B48E98}" vid="{771EA782-DFA6-45B1-AEA3-661F1715B310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3:M39"/>
  <sheetViews>
    <sheetView topLeftCell="A8" workbookViewId="0">
      <selection activeCell="F16" sqref="F16"/>
    </sheetView>
  </sheetViews>
  <sheetFormatPr baseColWidth="10" defaultRowHeight="17.25" x14ac:dyDescent="0.35"/>
  <cols>
    <col min="2" max="2" width="19" customWidth="1"/>
    <col min="3" max="3" width="11.875" customWidth="1"/>
    <col min="4" max="4" width="12.5" customWidth="1"/>
    <col min="5" max="5" width="2.25" customWidth="1"/>
    <col min="6" max="7" width="11.625" style="6" customWidth="1"/>
    <col min="8" max="8" width="12.125" style="6" customWidth="1"/>
    <col min="9" max="10" width="11.625" customWidth="1"/>
    <col min="11" max="11" width="11.625" style="6" customWidth="1"/>
    <col min="12" max="12" width="12.5" style="6" customWidth="1"/>
    <col min="13" max="13" width="18.75" customWidth="1"/>
  </cols>
  <sheetData>
    <row r="3" spans="1:12" x14ac:dyDescent="0.35">
      <c r="A3" t="s">
        <v>0</v>
      </c>
      <c r="E3" s="2" t="s">
        <v>7</v>
      </c>
      <c r="J3" s="1"/>
    </row>
    <row r="5" spans="1:12" ht="34.5" x14ac:dyDescent="0.35">
      <c r="A5" s="11" t="s">
        <v>1</v>
      </c>
      <c r="B5" s="12" t="s">
        <v>2</v>
      </c>
      <c r="C5" s="12" t="s">
        <v>8</v>
      </c>
      <c r="D5" s="13" t="s">
        <v>9</v>
      </c>
      <c r="F5" s="8" t="s">
        <v>16</v>
      </c>
      <c r="G5" s="8" t="s">
        <v>12</v>
      </c>
      <c r="H5" s="8" t="s">
        <v>14</v>
      </c>
      <c r="I5" s="9" t="s">
        <v>10</v>
      </c>
      <c r="J5" s="9" t="s">
        <v>11</v>
      </c>
      <c r="K5" s="8" t="s">
        <v>15</v>
      </c>
      <c r="L5" s="10" t="s">
        <v>13</v>
      </c>
    </row>
    <row r="6" spans="1:12" x14ac:dyDescent="0.35">
      <c r="A6" s="14" t="s">
        <v>3</v>
      </c>
      <c r="B6" s="14" t="s">
        <v>4</v>
      </c>
      <c r="C6" s="14" t="s">
        <v>5</v>
      </c>
      <c r="D6" s="14" t="s">
        <v>6</v>
      </c>
      <c r="F6" s="29">
        <v>0</v>
      </c>
      <c r="G6" s="29">
        <v>0</v>
      </c>
      <c r="H6" s="30">
        <f>CalculaCapital(TablaInteresesYCapital[[#This Row],[Regulacion]],TablaInteresesYCapital[[#This Row],[Pago]])</f>
        <v>0</v>
      </c>
      <c r="I6" s="31"/>
      <c r="J6" s="31">
        <f>CalculaFechaHasta(TablaInteresesYCapital[[#This Row],[Fecha Desde]])</f>
        <v>0</v>
      </c>
      <c r="K6" s="29">
        <f>CalcularIntereses(TablaTasas[#All],TablaInteresesYCapital[[#This Row],[Fecha Desde]],TablaInteresesYCapital[[#This Row],[Fecha Hasta]],TablaInteresesYCapital[[#This Row],[Capital]])</f>
        <v>0</v>
      </c>
      <c r="L6" s="29">
        <v>0</v>
      </c>
    </row>
    <row r="7" spans="1:12" x14ac:dyDescent="0.35">
      <c r="A7" s="15">
        <v>38778</v>
      </c>
      <c r="B7" s="16">
        <v>42359</v>
      </c>
      <c r="C7" s="17">
        <v>0.46</v>
      </c>
      <c r="D7" s="18">
        <f>+C7/365</f>
        <v>1.2602739726027398E-3</v>
      </c>
      <c r="F7" s="26">
        <v>0</v>
      </c>
      <c r="G7" s="26">
        <v>0</v>
      </c>
      <c r="H7" s="27">
        <f>CalculaCapital(TablaInteresesYCapital[[#This Row],[Regulacion]],TablaInteresesYCapital[[#This Row],[Pago]])</f>
        <v>0</v>
      </c>
      <c r="I7" s="28"/>
      <c r="J7" s="28">
        <f>CalculaFechaHasta(TablaInteresesYCapital[[#This Row],[Fecha Desde]])</f>
        <v>0</v>
      </c>
      <c r="K7" s="26">
        <f>CalcularIntereses(TablaTasas[#All],TablaInteresesYCapital[[#This Row],[Fecha Desde]],TablaInteresesYCapital[[#This Row],[Fecha Hasta]],TablaInteresesYCapital[[#This Row],[Capital]])</f>
        <v>0</v>
      </c>
      <c r="L7" s="26">
        <f>CalculaInteresAcumulado(TablaInteresesYCapital[[#This Row],[Regulacion]],TablaInteresesYCapital[[#This Row],[Pago]],TablaInteresesYCapital[[#This Row],[Intereses ]],TablaInteresesYCapital[[#This Row],[Capital]],K6,L6)</f>
        <v>0</v>
      </c>
    </row>
    <row r="8" spans="1:12" x14ac:dyDescent="0.35">
      <c r="A8" s="15">
        <v>42359</v>
      </c>
      <c r="B8" s="19">
        <v>42667</v>
      </c>
      <c r="C8" s="17">
        <v>0.48</v>
      </c>
      <c r="D8" s="18">
        <f t="shared" ref="D8:D16" si="0">+C8/365</f>
        <v>1.315068493150685E-3</v>
      </c>
      <c r="F8" s="22">
        <v>1500</v>
      </c>
      <c r="G8" s="22"/>
      <c r="H8" s="22">
        <f>CalculaCapital(TablaInteresesYCapital[[#This Row],[Regulacion]],TablaInteresesYCapital[[#This Row],[Pago]])</f>
        <v>1500</v>
      </c>
      <c r="I8" s="23">
        <v>44749</v>
      </c>
      <c r="J8" s="24">
        <f>CalculaFechaHasta(TablaInteresesYCapital[[#This Row],[Fecha Desde]])</f>
        <v>44781</v>
      </c>
      <c r="K8" s="22">
        <f>CalcularIntereses(TablaTasas[#All],TablaInteresesYCapital[[#This Row],[Fecha Desde]],TablaInteresesYCapital[[#This Row],[Fecha Hasta]],TablaInteresesYCapital[[#This Row],[Capital]])</f>
        <v>46.027397260273972</v>
      </c>
      <c r="L8" s="22">
        <f>CalculaInteresAcumulado(TablaInteresesYCapital[[#This Row],[Regulacion]],TablaInteresesYCapital[[#This Row],[Pago]],TablaInteresesYCapital[[#This Row],[Intereses ]],TablaInteresesYCapital[[#This Row],[Capital]],K7,L7)</f>
        <v>46.027397260273972</v>
      </c>
    </row>
    <row r="9" spans="1:12" x14ac:dyDescent="0.35">
      <c r="A9" s="15">
        <v>42667</v>
      </c>
      <c r="B9" s="19">
        <v>42767</v>
      </c>
      <c r="C9" s="17">
        <v>0.31</v>
      </c>
      <c r="D9" s="18">
        <f t="shared" si="0"/>
        <v>8.4931506849315072E-4</v>
      </c>
      <c r="F9" s="22">
        <v>7000</v>
      </c>
      <c r="G9" s="22"/>
      <c r="H9" s="22">
        <f>CalculaCapital(TablaInteresesYCapital[[#This Row],[Regulacion]],TablaInteresesYCapital[[#This Row],[Pago]])</f>
        <v>8500</v>
      </c>
      <c r="I9" s="23">
        <v>44781</v>
      </c>
      <c r="J9" s="24">
        <f>CalculaFechaHasta(TablaInteresesYCapital[[#This Row],[Fecha Desde]])</f>
        <v>44813</v>
      </c>
      <c r="K9" s="22">
        <f>CalcularIntereses(TablaTasas[#All],TablaInteresesYCapital[[#This Row],[Fecha Desde]],TablaInteresesYCapital[[#This Row],[Fecha Hasta]],TablaInteresesYCapital[[#This Row],[Capital]])</f>
        <v>372.60273972602727</v>
      </c>
      <c r="L9" s="22">
        <f>CalculaInteresAcumulado(TablaInteresesYCapital[[#This Row],[Regulacion]],TablaInteresesYCapital[[#This Row],[Pago]],TablaInteresesYCapital[[#This Row],[Intereses ]],TablaInteresesYCapital[[#This Row],[Capital]],K8,L8)</f>
        <v>418.63013698630124</v>
      </c>
    </row>
    <row r="10" spans="1:12" x14ac:dyDescent="0.35">
      <c r="A10" s="15">
        <v>42767</v>
      </c>
      <c r="B10" s="19">
        <v>43235</v>
      </c>
      <c r="C10" s="17">
        <v>0.27</v>
      </c>
      <c r="D10" s="18">
        <f t="shared" si="0"/>
        <v>7.3972602739726036E-4</v>
      </c>
      <c r="F10" s="22"/>
      <c r="G10" s="22">
        <v>1000</v>
      </c>
      <c r="H10" s="22">
        <f>CalculaCapital(TablaInteresesYCapital[[#This Row],[Regulacion]],TablaInteresesYCapital[[#This Row],[Pago]])</f>
        <v>7918.6301369863013</v>
      </c>
      <c r="I10" s="23">
        <v>44813</v>
      </c>
      <c r="J10" s="24"/>
      <c r="K10" s="22">
        <f>CalcularIntereses(TablaTasas[#All],TablaInteresesYCapital[[#This Row],[Fecha Desde]],TablaInteresesYCapital[[#This Row],[Fecha Hasta]],TablaInteresesYCapital[[#This Row],[Capital]])</f>
        <v>0</v>
      </c>
      <c r="L10" s="22">
        <f>CalculaInteresAcumulado(TablaInteresesYCapital[[#This Row],[Regulacion]],TablaInteresesYCapital[[#This Row],[Pago]],TablaInteresesYCapital[[#This Row],[Intereses ]],TablaInteresesYCapital[[#This Row],[Capital]],K9,L9)</f>
        <v>0</v>
      </c>
    </row>
    <row r="11" spans="1:12" x14ac:dyDescent="0.35">
      <c r="A11" s="15">
        <v>43235</v>
      </c>
      <c r="B11" s="19">
        <v>43347</v>
      </c>
      <c r="C11" s="17">
        <v>0.34</v>
      </c>
      <c r="D11" s="18">
        <f t="shared" si="0"/>
        <v>9.315068493150686E-4</v>
      </c>
      <c r="F11" s="22"/>
      <c r="G11" s="22"/>
      <c r="H11" s="22">
        <f>CalculaCapital(TablaInteresesYCapital[[#This Row],[Regulacion]],TablaInteresesYCapital[[#This Row],[Pago]])</f>
        <v>7918.6301369863013</v>
      </c>
      <c r="I11" s="23">
        <v>44813</v>
      </c>
      <c r="J11" s="24">
        <f>CalculaFechaHasta(TablaInteresesYCapital[[#This Row],[Fecha Desde]])</f>
        <v>44844</v>
      </c>
      <c r="K11" s="22">
        <f>CalcularIntereses(TablaTasas[#All],TablaInteresesYCapital[[#This Row],[Fecha Desde]],TablaInteresesYCapital[[#This Row],[Fecha Hasta]],TablaInteresesYCapital[[#This Row],[Capital]])</f>
        <v>336.27059485832206</v>
      </c>
      <c r="L11" s="22">
        <f>CalculaInteresAcumulado(TablaInteresesYCapital[[#This Row],[Regulacion]],TablaInteresesYCapital[[#This Row],[Pago]],TablaInteresesYCapital[[#This Row],[Intereses ]],TablaInteresesYCapital[[#This Row],[Capital]],K10,L10)</f>
        <v>336.27059485832206</v>
      </c>
    </row>
    <row r="12" spans="1:12" x14ac:dyDescent="0.35">
      <c r="A12" s="15">
        <v>43347</v>
      </c>
      <c r="B12" s="19">
        <v>43399</v>
      </c>
      <c r="C12" s="17">
        <v>0.4</v>
      </c>
      <c r="D12" s="18">
        <f t="shared" si="0"/>
        <v>1.0958904109589042E-3</v>
      </c>
      <c r="F12" s="22"/>
      <c r="G12" s="22">
        <v>2000</v>
      </c>
      <c r="H12" s="22">
        <f>CalculaCapital(TablaInteresesYCapital[[#This Row],[Regulacion]],TablaInteresesYCapital[[#This Row],[Pago]])</f>
        <v>6254.9007318446238</v>
      </c>
      <c r="I12" s="23">
        <v>44844</v>
      </c>
      <c r="J12" s="24"/>
      <c r="K12" s="22">
        <f>CalcularIntereses(TablaTasas[#All],TablaInteresesYCapital[[#This Row],[Fecha Desde]],TablaInteresesYCapital[[#This Row],[Fecha Hasta]],TablaInteresesYCapital[[#This Row],[Capital]])</f>
        <v>0</v>
      </c>
      <c r="L12" s="22">
        <f>CalculaInteresAcumulado(TablaInteresesYCapital[[#This Row],[Regulacion]],TablaInteresesYCapital[[#This Row],[Pago]],TablaInteresesYCapital[[#This Row],[Intereses ]],TablaInteresesYCapital[[#This Row],[Capital]],K11,L11)</f>
        <v>0</v>
      </c>
    </row>
    <row r="13" spans="1:12" x14ac:dyDescent="0.35">
      <c r="A13" s="15">
        <v>43399</v>
      </c>
      <c r="B13" s="19">
        <v>43693</v>
      </c>
      <c r="C13" s="17">
        <v>0.48</v>
      </c>
      <c r="D13" s="18">
        <f t="shared" si="0"/>
        <v>1.315068493150685E-3</v>
      </c>
      <c r="F13" s="22"/>
      <c r="G13" s="22"/>
      <c r="H13" s="22">
        <f>CalculaCapital(TablaInteresesYCapital[[#This Row],[Regulacion]],TablaInteresesYCapital[[#This Row],[Pago]])</f>
        <v>6254.9007318446238</v>
      </c>
      <c r="I13" s="23">
        <v>44844</v>
      </c>
      <c r="J13" s="24">
        <f>CalculaFechaHasta(TablaInteresesYCapital[[#This Row],[Fecha Desde]])</f>
        <v>44907</v>
      </c>
      <c r="K13" s="22">
        <f>CalcularIntereses(TablaTasas[#All],TablaInteresesYCapital[[#This Row],[Fecha Desde]],TablaInteresesYCapital[[#This Row],[Fecha Hasta]],TablaInteresesYCapital[[#This Row],[Capital]])</f>
        <v>539.80650151535792</v>
      </c>
      <c r="L13" s="22">
        <f>CalculaInteresAcumulado(TablaInteresesYCapital[[#This Row],[Regulacion]],TablaInteresesYCapital[[#This Row],[Pago]],TablaInteresesYCapital[[#This Row],[Intereses ]],TablaInteresesYCapital[[#This Row],[Capital]],K12,L12)</f>
        <v>539.80650151535792</v>
      </c>
    </row>
    <row r="14" spans="1:12" x14ac:dyDescent="0.35">
      <c r="A14" s="15">
        <v>43693</v>
      </c>
      <c r="B14" s="19">
        <v>43983</v>
      </c>
      <c r="C14" s="17">
        <v>0.52</v>
      </c>
      <c r="D14" s="18">
        <f t="shared" si="0"/>
        <v>1.4246575342465753E-3</v>
      </c>
      <c r="F14" s="22"/>
      <c r="G14" s="22">
        <v>3000</v>
      </c>
      <c r="H14" s="22">
        <f>CalculaCapital(TablaInteresesYCapital[[#This Row],[Regulacion]],TablaInteresesYCapital[[#This Row],[Pago]])</f>
        <v>3794.7072333599817</v>
      </c>
      <c r="I14" s="23">
        <v>44907</v>
      </c>
      <c r="J14" s="24"/>
      <c r="K14" s="22">
        <f>CalcularIntereses(TablaTasas[#All],TablaInteresesYCapital[[#This Row],[Fecha Desde]],TablaInteresesYCapital[[#This Row],[Fecha Hasta]],TablaInteresesYCapital[[#This Row],[Capital]])</f>
        <v>0</v>
      </c>
      <c r="L14" s="22">
        <f>CalculaInteresAcumulado(TablaInteresesYCapital[[#This Row],[Regulacion]],TablaInteresesYCapital[[#This Row],[Pago]],TablaInteresesYCapital[[#This Row],[Intereses ]],TablaInteresesYCapital[[#This Row],[Capital]],K13,L13)</f>
        <v>0</v>
      </c>
    </row>
    <row r="15" spans="1:12" x14ac:dyDescent="0.35">
      <c r="A15" s="15">
        <v>43983</v>
      </c>
      <c r="B15" s="19">
        <v>44321</v>
      </c>
      <c r="C15" s="17">
        <v>0.32</v>
      </c>
      <c r="D15" s="18">
        <f t="shared" si="0"/>
        <v>8.7671232876712331E-4</v>
      </c>
      <c r="F15" s="22"/>
      <c r="G15" s="22"/>
      <c r="H15" s="22">
        <f>CalculaCapital(TablaInteresesYCapital[[#This Row],[Regulacion]],TablaInteresesYCapital[[#This Row],[Pago]])</f>
        <v>3794.7072333599817</v>
      </c>
      <c r="I15" s="23">
        <v>44907</v>
      </c>
      <c r="J15" s="24">
        <f>CalculaFechaHasta(TablaInteresesYCapital[[#This Row],[Fecha Desde]])</f>
        <v>44927</v>
      </c>
      <c r="K15" s="22">
        <f>CalcularIntereses(TablaTasas[#All],TablaInteresesYCapital[[#This Row],[Fecha Desde]],TablaInteresesYCapital[[#This Row],[Fecha Hasta]],TablaInteresesYCapital[[#This Row],[Capital]])</f>
        <v>103.96458173588985</v>
      </c>
      <c r="L15" s="22">
        <f>CalculaInteresAcumulado(TablaInteresesYCapital[[#This Row],[Regulacion]],TablaInteresesYCapital[[#This Row],[Pago]],TablaInteresesYCapital[[#This Row],[Intereses ]],TablaInteresesYCapital[[#This Row],[Capital]],K14,L14)</f>
        <v>103.96458173588985</v>
      </c>
    </row>
    <row r="16" spans="1:12" x14ac:dyDescent="0.35">
      <c r="A16" s="15">
        <v>44321</v>
      </c>
      <c r="B16" s="19">
        <v>44781</v>
      </c>
      <c r="C16" s="17">
        <v>0.35</v>
      </c>
      <c r="D16" s="18">
        <f t="shared" si="0"/>
        <v>9.5890410958904108E-4</v>
      </c>
      <c r="F16" s="22">
        <v>1000</v>
      </c>
      <c r="G16" s="22"/>
      <c r="H16" s="22">
        <f>CalculaCapital(TablaInteresesYCapital[[#This Row],[Regulacion]],TablaInteresesYCapital[[#This Row],[Pago]])</f>
        <v>4794.7072333599817</v>
      </c>
      <c r="I16" s="23">
        <v>44927</v>
      </c>
      <c r="J16" s="24">
        <f>CalculaFechaHasta(TablaInteresesYCapital[[#This Row],[Fecha Desde]])</f>
        <v>44959</v>
      </c>
      <c r="K16" s="22">
        <f>CalcularIntereses(TablaTasas[#All],TablaInteresesYCapital[[#This Row],[Fecha Desde]],TablaInteresesYCapital[[#This Row],[Fecha Hasta]],TablaInteresesYCapital[[#This Row],[Capital]])</f>
        <v>210.17894721578</v>
      </c>
      <c r="L16" s="22">
        <f>CalculaInteresAcumulado(TablaInteresesYCapital[[#This Row],[Regulacion]],TablaInteresesYCapital[[#This Row],[Pago]],TablaInteresesYCapital[[#This Row],[Intereses ]],TablaInteresesYCapital[[#This Row],[Capital]],K15,L15)</f>
        <v>314.14352895166985</v>
      </c>
    </row>
    <row r="17" spans="1:13" x14ac:dyDescent="0.35">
      <c r="A17" s="15">
        <v>44781</v>
      </c>
      <c r="B17" s="19">
        <v>45140</v>
      </c>
      <c r="C17" s="17">
        <v>0.5</v>
      </c>
      <c r="D17" s="18">
        <f>+C17/365</f>
        <v>1.3698630136986301E-3</v>
      </c>
      <c r="F17" s="22"/>
      <c r="G17" s="22">
        <v>5000</v>
      </c>
      <c r="H17" s="22">
        <f>CalculaCapital(TablaInteresesYCapital[[#This Row],[Regulacion]],TablaInteresesYCapital[[#This Row],[Pago]])</f>
        <v>108.85076231165203</v>
      </c>
      <c r="I17" s="23">
        <v>44959</v>
      </c>
      <c r="J17" s="24"/>
      <c r="K17" s="22">
        <f>CalcularIntereses(TablaTasas[#All],TablaInteresesYCapital[[#This Row],[Fecha Desde]],TablaInteresesYCapital[[#This Row],[Fecha Hasta]],TablaInteresesYCapital[[#This Row],[Capital]])</f>
        <v>0</v>
      </c>
      <c r="L17" s="22">
        <f>CalculaInteresAcumulado(TablaInteresesYCapital[[#This Row],[Regulacion]],TablaInteresesYCapital[[#This Row],[Pago]],TablaInteresesYCapital[[#This Row],[Intereses ]],TablaInteresesYCapital[[#This Row],[Capital]],K16,L16)</f>
        <v>0</v>
      </c>
    </row>
    <row r="18" spans="1:13" x14ac:dyDescent="0.35">
      <c r="F18" s="22"/>
      <c r="G18" s="22"/>
      <c r="H18" s="22">
        <f>CalculaCapital(TablaInteresesYCapital[[#This Row],[Regulacion]],TablaInteresesYCapital[[#This Row],[Pago]])</f>
        <v>108.85076231165203</v>
      </c>
      <c r="I18" s="23">
        <v>44959</v>
      </c>
      <c r="J18" s="24">
        <v>45020</v>
      </c>
      <c r="K18" s="22">
        <f>CalcularIntereses(TablaTasas[#All],TablaInteresesYCapital[[#This Row],[Fecha Desde]],TablaInteresesYCapital[[#This Row],[Fecha Hasta]],TablaInteresesYCapital[[#This Row],[Capital]])</f>
        <v>9.0957486315216087</v>
      </c>
      <c r="L18" s="22">
        <f>CalculaInteresAcumulado(TablaInteresesYCapital[[#This Row],[Regulacion]],TablaInteresesYCapital[[#This Row],[Pago]],TablaInteresesYCapital[[#This Row],[Intereses ]],TablaInteresesYCapital[[#This Row],[Capital]],K17,L17)</f>
        <v>9.0957486315216087</v>
      </c>
    </row>
    <row r="19" spans="1:13" x14ac:dyDescent="0.35">
      <c r="I19" s="1"/>
      <c r="J19" s="1"/>
      <c r="M19" s="6"/>
    </row>
    <row r="20" spans="1:13" ht="25.5" x14ac:dyDescent="0.4">
      <c r="G20" s="21" t="s">
        <v>19</v>
      </c>
      <c r="H20" s="1"/>
      <c r="J20" s="1"/>
      <c r="M20" s="6"/>
    </row>
    <row r="21" spans="1:13" x14ac:dyDescent="0.35">
      <c r="F21" s="6" t="s">
        <v>18</v>
      </c>
      <c r="G21" s="6" t="s">
        <v>15</v>
      </c>
      <c r="H21" s="20" t="s">
        <v>14</v>
      </c>
      <c r="I21" s="20" t="s">
        <v>17</v>
      </c>
      <c r="K21" s="1"/>
    </row>
    <row r="22" spans="1:13" x14ac:dyDescent="0.35">
      <c r="F22" s="1">
        <f>INDEX(TablaInteresesYCapital[Fecha Hasta],COUNTA(TablaInteresesYCapital[Capital]))</f>
        <v>45020</v>
      </c>
      <c r="G22" s="6">
        <f>INDEX(TablaInteresesYCapital[Intereses Acumulados],COUNTA(TablaInteresesYCapital[Intereses Acumulados]))</f>
        <v>9.0957486315216087</v>
      </c>
      <c r="H22" s="20">
        <f>INDEX(TablaInteresesYCapital[Capital],COUNTA(TablaInteresesYCapital[Capital]))</f>
        <v>108.85076231165203</v>
      </c>
      <c r="I22" s="20">
        <f>SUM(TablaDatosFinal[[Intereses ]]+H22:H23)</f>
        <v>117.94651094317365</v>
      </c>
      <c r="K22" s="1"/>
      <c r="M22" s="3"/>
    </row>
    <row r="23" spans="1:13" x14ac:dyDescent="0.35">
      <c r="I23" s="1"/>
      <c r="J23" s="1"/>
      <c r="M23" s="5"/>
    </row>
    <row r="24" spans="1:13" x14ac:dyDescent="0.35">
      <c r="I24" s="1"/>
      <c r="J24" s="1"/>
      <c r="M24" s="4"/>
    </row>
    <row r="25" spans="1:13" x14ac:dyDescent="0.35">
      <c r="I25" s="1"/>
      <c r="J25" s="1"/>
      <c r="M25" s="3"/>
    </row>
    <row r="26" spans="1:13" x14ac:dyDescent="0.35">
      <c r="I26" s="1"/>
      <c r="J26" s="1"/>
    </row>
    <row r="27" spans="1:13" x14ac:dyDescent="0.35">
      <c r="I27" s="25"/>
      <c r="J27" s="1"/>
    </row>
    <row r="28" spans="1:13" x14ac:dyDescent="0.35">
      <c r="I28" s="1"/>
      <c r="J28" s="1"/>
    </row>
    <row r="34" spans="9:12" x14ac:dyDescent="0.35">
      <c r="K34" s="7"/>
      <c r="L34" s="7"/>
    </row>
    <row r="39" spans="9:12" x14ac:dyDescent="0.35">
      <c r="I39" s="1"/>
      <c r="J39" s="1"/>
    </row>
  </sheetData>
  <pageMargins left="0.25" right="0.25" top="0.75" bottom="0.75" header="0.3" footer="0.3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cmdFechaFinal_Click">
                <anchor moveWithCells="1" sizeWithCells="1">
                  <from>
                    <xdr:col>12</xdr:col>
                    <xdr:colOff>1066800</xdr:colOff>
                    <xdr:row>16</xdr:row>
                    <xdr:rowOff>47625</xdr:rowOff>
                  </from>
                  <to>
                    <xdr:col>13</xdr:col>
                    <xdr:colOff>409575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topLeftCell="A13" workbookViewId="0">
      <selection activeCell="I26" sqref="I26"/>
    </sheetView>
  </sheetViews>
  <sheetFormatPr baseColWidth="10" defaultRowHeight="17.25" x14ac:dyDescent="0.35"/>
  <sheetData/>
  <pageMargins left="0.7" right="0.7" top="0.75" bottom="0.75" header="0.3" footer="0.3"/>
  <pageSetup paperSize="9" orientation="portrait" horizontalDpi="360" verticalDpi="36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LlamadaForm_Click">
                <anchor moveWithCells="1" sizeWithCells="1">
                  <from>
                    <xdr:col>2</xdr:col>
                    <xdr:colOff>571500</xdr:colOff>
                    <xdr:row>8</xdr:row>
                    <xdr:rowOff>171450</xdr:rowOff>
                  </from>
                  <to>
                    <xdr:col>4</xdr:col>
                    <xdr:colOff>371475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liminarUltimaFilaTabla">
                <anchor moveWithCells="1" sizeWithCells="1">
                  <from>
                    <xdr:col>5</xdr:col>
                    <xdr:colOff>342900</xdr:colOff>
                    <xdr:row>8</xdr:row>
                    <xdr:rowOff>161925</xdr:rowOff>
                  </from>
                  <to>
                    <xdr:col>7</xdr:col>
                    <xdr:colOff>142875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LlamadaFormPagos_Click">
                <anchor moveWithCells="1" sizeWithCells="1">
                  <from>
                    <xdr:col>8</xdr:col>
                    <xdr:colOff>342900</xdr:colOff>
                    <xdr:row>8</xdr:row>
                    <xdr:rowOff>180975</xdr:rowOff>
                  </from>
                  <to>
                    <xdr:col>10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lamadaFormTasas_Click">
                <anchor moveWithCells="1" sizeWithCells="1">
                  <from>
                    <xdr:col>3</xdr:col>
                    <xdr:colOff>742950</xdr:colOff>
                    <xdr:row>16</xdr:row>
                    <xdr:rowOff>209550</xdr:rowOff>
                  </from>
                  <to>
                    <xdr:col>5</xdr:col>
                    <xdr:colOff>542925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EliminarUltimaFilaTablaTasas">
                <anchor moveWithCells="1" sizeWithCells="1">
                  <from>
                    <xdr:col>6</xdr:col>
                    <xdr:colOff>752475</xdr:colOff>
                    <xdr:row>16</xdr:row>
                    <xdr:rowOff>180975</xdr:rowOff>
                  </from>
                  <to>
                    <xdr:col>8</xdr:col>
                    <xdr:colOff>476250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MostrarDatosCliente">
                <anchor moveWithCells="1" sizeWithCells="1">
                  <from>
                    <xdr:col>5</xdr:col>
                    <xdr:colOff>390525</xdr:colOff>
                    <xdr:row>25</xdr:row>
                    <xdr:rowOff>47625</xdr:rowOff>
                  </from>
                  <to>
                    <xdr:col>7</xdr:col>
                    <xdr:colOff>114300</xdr:colOff>
                    <xdr:row>28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2023-08-02T16:28:25Z</cp:lastPrinted>
  <dcterms:created xsi:type="dcterms:W3CDTF">2021-02-09T19:58:19Z</dcterms:created>
  <dcterms:modified xsi:type="dcterms:W3CDTF">2024-01-16T02:09:01Z</dcterms:modified>
</cp:coreProperties>
</file>